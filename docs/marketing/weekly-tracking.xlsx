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週次トラッキング" sheetId="1" state="visible" r:id="rId3"/>
    <sheet name="読み方メモ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<sst xmlns="http://schemas.openxmlformats.org/spreadsheetml/2006/main" count="49" uniqueCount="49">
  <si>
    <t xml:space="preserve">スカッと予定 週次トラッキング</t>
  </si>
  <si>
    <r>
      <rPr>
        <i val="true"/>
        <sz val="10"/>
        <color rgb="FF555555"/>
        <rFont val="Noto Sans JP"/>
        <family val="2"/>
      </rPr>
      <t xml:space="preserve">毎週、</t>
    </r>
    <r>
      <rPr>
        <i val="true"/>
        <sz val="10"/>
        <color rgb="FF555555"/>
        <rFont val="Arial"/>
        <family val="0"/>
        <charset val="1"/>
      </rPr>
      <t xml:space="preserve">Gumroad</t>
    </r>
    <r>
      <rPr>
        <i val="true"/>
        <sz val="10"/>
        <color rgb="FF555555"/>
        <rFont val="Noto Sans JP"/>
        <family val="2"/>
      </rPr>
      <t xml:space="preserve">（売上）＋ </t>
    </r>
    <r>
      <rPr>
        <i val="true"/>
        <sz val="10"/>
        <color rgb="FF555555"/>
        <rFont val="Arial"/>
        <family val="0"/>
        <charset val="1"/>
      </rPr>
      <t xml:space="preserve">Vercel Analytics</t>
    </r>
    <r>
      <rPr>
        <i val="true"/>
        <sz val="10"/>
        <color rgb="FF555555"/>
        <rFont val="Noto Sans JP"/>
        <family val="2"/>
      </rPr>
      <t xml:space="preserve">（</t>
    </r>
    <r>
      <rPr>
        <i val="true"/>
        <sz val="10"/>
        <color rgb="FF555555"/>
        <rFont val="Arial"/>
        <family val="0"/>
        <charset val="1"/>
      </rPr>
      <t xml:space="preserve">LP=grin / </t>
    </r>
    <r>
      <rPr>
        <i val="true"/>
        <sz val="10"/>
        <color rgb="FF555555"/>
        <rFont val="Noto Sans JP"/>
        <family val="2"/>
      </rPr>
      <t xml:space="preserve">アプリ</t>
    </r>
    <r>
      <rPr>
        <i val="true"/>
        <sz val="10"/>
        <color rgb="FF555555"/>
        <rFont val="Arial"/>
        <family val="0"/>
        <charset val="1"/>
      </rPr>
      <t xml:space="preserve">=oeyl</t>
    </r>
    <r>
      <rPr>
        <i val="true"/>
        <sz val="10"/>
        <color rgb="FF555555"/>
        <rFont val="Noto Sans JP"/>
        <family val="2"/>
      </rPr>
      <t xml:space="preserve">）の数値を転記。青字セル＝手入力、黒字列＝自動計算。</t>
    </r>
  </si>
  <si>
    <r>
      <rPr>
        <i val="true"/>
        <sz val="10"/>
        <color rgb="FF555555"/>
        <rFont val="Noto Sans JP"/>
        <family val="2"/>
      </rPr>
      <t xml:space="preserve">目標の目安：お小遣い 月〜</t>
    </r>
    <r>
      <rPr>
        <i val="true"/>
        <sz val="10"/>
        <color rgb="FF555555"/>
        <rFont val="Arial"/>
        <family val="0"/>
        <charset val="1"/>
      </rPr>
      <t xml:space="preserve">5</t>
    </r>
    <r>
      <rPr>
        <i val="true"/>
        <sz val="10"/>
        <color rgb="FF555555"/>
        <rFont val="Noto Sans JP"/>
        <family val="2"/>
      </rPr>
      <t xml:space="preserve">万円 ≒ </t>
    </r>
    <r>
      <rPr>
        <i val="true"/>
        <sz val="10"/>
        <color rgb="FF555555"/>
        <rFont val="Arial"/>
        <family val="0"/>
        <charset val="1"/>
      </rPr>
      <t xml:space="preserve">¥980 × </t>
    </r>
    <r>
      <rPr>
        <i val="true"/>
        <sz val="10"/>
        <color rgb="FF555555"/>
        <rFont val="Noto Sans JP"/>
        <family val="2"/>
      </rPr>
      <t xml:space="preserve">約</t>
    </r>
    <r>
      <rPr>
        <i val="true"/>
        <sz val="10"/>
        <color rgb="FF555555"/>
        <rFont val="Arial"/>
        <family val="0"/>
        <charset val="1"/>
      </rPr>
      <t xml:space="preserve">51</t>
    </r>
    <r>
      <rPr>
        <i val="true"/>
        <sz val="10"/>
        <color rgb="FF555555"/>
        <rFont val="Noto Sans JP"/>
        <family val="2"/>
      </rPr>
      <t xml:space="preserve">本</t>
    </r>
    <r>
      <rPr>
        <i val="true"/>
        <sz val="10"/>
        <color rgb="FF555555"/>
        <rFont val="Arial"/>
        <family val="0"/>
        <charset val="1"/>
      </rPr>
      <t xml:space="preserve">/</t>
    </r>
    <r>
      <rPr>
        <i val="true"/>
        <sz val="10"/>
        <color rgb="FF555555"/>
        <rFont val="Noto Sans JP"/>
        <family val="2"/>
      </rPr>
      <t xml:space="preserve">月（＝週あたり約</t>
    </r>
    <r>
      <rPr>
        <i val="true"/>
        <sz val="10"/>
        <color rgb="FF555555"/>
        <rFont val="Arial"/>
        <family val="0"/>
        <charset val="1"/>
      </rPr>
      <t xml:space="preserve">12</t>
    </r>
    <r>
      <rPr>
        <i val="true"/>
        <sz val="10"/>
        <color rgb="FF555555"/>
        <rFont val="Noto Sans JP"/>
        <family val="2"/>
      </rPr>
      <t xml:space="preserve">〜</t>
    </r>
    <r>
      <rPr>
        <i val="true"/>
        <sz val="10"/>
        <color rgb="FF555555"/>
        <rFont val="Arial"/>
        <family val="0"/>
        <charset val="1"/>
      </rPr>
      <t xml:space="preserve">13</t>
    </r>
    <r>
      <rPr>
        <i val="true"/>
        <sz val="10"/>
        <color rgb="FF555555"/>
        <rFont val="Noto Sans JP"/>
        <family val="2"/>
      </rPr>
      <t xml:space="preserve">本の</t>
    </r>
    <r>
      <rPr>
        <i val="true"/>
        <sz val="10"/>
        <color rgb="FF555555"/>
        <rFont val="Arial"/>
        <family val="0"/>
        <charset val="1"/>
      </rPr>
      <t xml:space="preserve">Pro</t>
    </r>
    <r>
      <rPr>
        <i val="true"/>
        <sz val="10"/>
        <color rgb="FF555555"/>
        <rFont val="Noto Sans JP"/>
        <family val="2"/>
      </rPr>
      <t xml:space="preserve">解除）</t>
    </r>
  </si>
  <si>
    <t xml:space="preserve">週</t>
  </si>
  <si>
    <t xml:space="preserve">アクセス（入力）</t>
  </si>
  <si>
    <t xml:space="preserve">アプリ・ファネル（入力）</t>
  </si>
  <si>
    <t xml:space="preserve">収益（入力）</t>
  </si>
  <si>
    <t xml:space="preserve">メモ</t>
  </si>
  <si>
    <t xml:space="preserve">自動計算：転換率</t>
  </si>
  <si>
    <t xml:space="preserve">自動計算：累計</t>
  </si>
  <si>
    <r>
      <rPr>
        <b val="true"/>
        <sz val="10"/>
        <rFont val="Noto Sans JP"/>
        <family val="2"/>
      </rPr>
      <t xml:space="preserve">週（開始日）
例</t>
    </r>
    <r>
      <rPr>
        <b val="true"/>
        <sz val="10"/>
        <rFont val="Arial"/>
        <family val="0"/>
        <charset val="1"/>
      </rPr>
      <t xml:space="preserve">: 7/14</t>
    </r>
  </si>
  <si>
    <r>
      <rPr>
        <b val="true"/>
        <sz val="10"/>
        <rFont val="Arial"/>
        <family val="0"/>
        <charset val="1"/>
      </rPr>
      <t xml:space="preserve">LP
</t>
    </r>
    <r>
      <rPr>
        <b val="true"/>
        <sz val="10"/>
        <rFont val="Noto Sans JP"/>
        <family val="2"/>
      </rPr>
      <t xml:space="preserve">訪問者</t>
    </r>
  </si>
  <si>
    <t xml:space="preserve">LP
PV</t>
  </si>
  <si>
    <t xml:space="preserve">lp_try_
clicked</t>
  </si>
  <si>
    <t xml:space="preserve">app_
opened</t>
  </si>
  <si>
    <t xml:space="preserve">event_
registered</t>
  </si>
  <si>
    <t xml:space="preserve">voice_
limit_hit</t>
  </si>
  <si>
    <t xml:space="preserve">template_
limit_hit</t>
  </si>
  <si>
    <t xml:space="preserve">pro_cta_
clicked</t>
  </si>
  <si>
    <t xml:space="preserve">pro_
unlocked</t>
  </si>
  <si>
    <r>
      <rPr>
        <b val="true"/>
        <sz val="10"/>
        <rFont val="Arial"/>
        <family val="0"/>
        <charset val="1"/>
      </rPr>
      <t xml:space="preserve">Pro</t>
    </r>
    <r>
      <rPr>
        <b val="true"/>
        <sz val="10"/>
        <rFont val="Noto Sans JP"/>
        <family val="2"/>
      </rPr>
      <t xml:space="preserve">売上
（</t>
    </r>
    <r>
      <rPr>
        <b val="true"/>
        <sz val="10"/>
        <rFont val="Arial"/>
        <family val="0"/>
        <charset val="1"/>
      </rPr>
      <t xml:space="preserve">¥/</t>
    </r>
    <r>
      <rPr>
        <b val="true"/>
        <sz val="10"/>
        <rFont val="Noto Sans JP"/>
        <family val="2"/>
      </rPr>
      <t xml:space="preserve">週）</t>
    </r>
  </si>
  <si>
    <t xml:space="preserve">今週の施策メモ
（どのチャネルで何を出したか）</t>
  </si>
  <si>
    <r>
      <rPr>
        <b val="true"/>
        <sz val="10"/>
        <rFont val="Arial"/>
        <family val="0"/>
        <charset val="1"/>
      </rPr>
      <t xml:space="preserve">LP→</t>
    </r>
    <r>
      <rPr>
        <b val="true"/>
        <sz val="10"/>
        <rFont val="Noto Sans JP"/>
        <family val="2"/>
      </rPr>
      <t xml:space="preserve">試す
率</t>
    </r>
  </si>
  <si>
    <t xml:space="preserve">起動→登録
率</t>
  </si>
  <si>
    <r>
      <rPr>
        <b val="true"/>
        <sz val="10"/>
        <rFont val="Noto Sans JP"/>
        <family val="2"/>
      </rPr>
      <t xml:space="preserve">登録→</t>
    </r>
    <r>
      <rPr>
        <b val="true"/>
        <sz val="10"/>
        <rFont val="Arial"/>
        <family val="0"/>
        <charset val="1"/>
      </rPr>
      <t xml:space="preserve">CTA
</t>
    </r>
    <r>
      <rPr>
        <b val="true"/>
        <sz val="10"/>
        <rFont val="Noto Sans JP"/>
        <family val="2"/>
      </rPr>
      <t xml:space="preserve">率</t>
    </r>
  </si>
  <si>
    <r>
      <rPr>
        <b val="true"/>
        <sz val="10"/>
        <rFont val="Arial"/>
        <family val="0"/>
        <charset val="1"/>
      </rPr>
      <t xml:space="preserve">CTA→</t>
    </r>
    <r>
      <rPr>
        <b val="true"/>
        <sz val="10"/>
        <rFont val="Noto Sans JP"/>
        <family val="2"/>
      </rPr>
      <t xml:space="preserve">解除
率</t>
    </r>
  </si>
  <si>
    <r>
      <rPr>
        <b val="true"/>
        <sz val="10"/>
        <rFont val="Noto Sans JP"/>
        <family val="2"/>
      </rPr>
      <t xml:space="preserve">登録→</t>
    </r>
    <r>
      <rPr>
        <b val="true"/>
        <sz val="10"/>
        <rFont val="Arial"/>
        <family val="0"/>
        <charset val="1"/>
      </rPr>
      <t xml:space="preserve">Pro
</t>
    </r>
    <r>
      <rPr>
        <b val="true"/>
        <sz val="10"/>
        <rFont val="Noto Sans JP"/>
        <family val="2"/>
      </rPr>
      <t xml:space="preserve">率</t>
    </r>
  </si>
  <si>
    <r>
      <rPr>
        <b val="true"/>
        <sz val="10"/>
        <rFont val="Noto Sans JP"/>
        <family val="2"/>
      </rPr>
      <t xml:space="preserve">累計
</t>
    </r>
    <r>
      <rPr>
        <b val="true"/>
        <sz val="10"/>
        <rFont val="Arial"/>
        <family val="0"/>
        <charset val="1"/>
      </rPr>
      <t xml:space="preserve">Pro</t>
    </r>
  </si>
  <si>
    <r>
      <rPr>
        <b val="true"/>
        <sz val="10"/>
        <rFont val="Noto Sans JP"/>
        <family val="2"/>
      </rPr>
      <t xml:space="preserve">累計売上
（</t>
    </r>
    <r>
      <rPr>
        <b val="true"/>
        <sz val="10"/>
        <rFont val="Arial"/>
        <family val="0"/>
        <charset val="1"/>
      </rPr>
      <t xml:space="preserve">¥</t>
    </r>
    <r>
      <rPr>
        <b val="true"/>
        <sz val="10"/>
        <rFont val="Noto Sans JP"/>
        <family val="2"/>
      </rPr>
      <t xml:space="preserve">）</t>
    </r>
  </si>
  <si>
    <t xml:space="preserve">項目</t>
  </si>
  <si>
    <r>
      <rPr>
        <b val="true"/>
        <sz val="11"/>
        <rFont val="Noto Sans JP"/>
        <family val="2"/>
      </rPr>
      <t xml:space="preserve">どこで見るか </t>
    </r>
    <r>
      <rPr>
        <b val="true"/>
        <sz val="11"/>
        <rFont val="Arial"/>
        <family val="0"/>
        <charset val="1"/>
      </rPr>
      <t xml:space="preserve">/ </t>
    </r>
    <r>
      <rPr>
        <b val="true"/>
        <sz val="11"/>
        <rFont val="Noto Sans JP"/>
        <family val="2"/>
      </rPr>
      <t xml:space="preserve">意味</t>
    </r>
  </si>
  <si>
    <r>
      <rPr>
        <sz val="11"/>
        <rFont val="Arial"/>
        <family val="0"/>
        <charset val="1"/>
      </rPr>
      <t xml:space="preserve">LP</t>
    </r>
    <r>
      <rPr>
        <sz val="11"/>
        <rFont val="Noto Sans JP"/>
        <family val="2"/>
      </rPr>
      <t xml:space="preserve">訪問者・</t>
    </r>
    <r>
      <rPr>
        <sz val="11"/>
        <rFont val="Arial"/>
        <family val="0"/>
        <charset val="1"/>
      </rPr>
      <t xml:space="preserve">PV</t>
    </r>
  </si>
  <si>
    <r>
      <rPr>
        <sz val="11"/>
        <rFont val="Arial"/>
        <family val="0"/>
        <charset val="1"/>
      </rPr>
      <t xml:space="preserve">Vercel → </t>
    </r>
    <r>
      <rPr>
        <sz val="11"/>
        <rFont val="Noto Sans JP"/>
        <family val="2"/>
      </rPr>
      <t xml:space="preserve">プロジェクト </t>
    </r>
    <r>
      <rPr>
        <sz val="11"/>
        <rFont val="Arial"/>
        <family val="0"/>
        <charset val="1"/>
      </rPr>
      <t xml:space="preserve">sukatto-schedule-grin → Analytics</t>
    </r>
  </si>
  <si>
    <t xml:space="preserve">lp_try_clicked</t>
  </si>
  <si>
    <r>
      <rPr>
        <sz val="11"/>
        <rFont val="Noto Sans JP"/>
        <family val="2"/>
      </rPr>
      <t xml:space="preserve">同上。</t>
    </r>
    <r>
      <rPr>
        <sz val="11"/>
        <rFont val="Arial"/>
        <family val="0"/>
        <charset val="1"/>
      </rPr>
      <t xml:space="preserve">LP</t>
    </r>
    <r>
      <rPr>
        <sz val="11"/>
        <rFont val="Noto Sans JP"/>
        <family val="2"/>
      </rPr>
      <t xml:space="preserve">の『無料で使ってみる』クリック</t>
    </r>
  </si>
  <si>
    <r>
      <rPr>
        <sz val="11"/>
        <rFont val="Arial"/>
        <family val="0"/>
        <charset val="1"/>
      </rPr>
      <t xml:space="preserve">app_opened</t>
    </r>
    <r>
      <rPr>
        <sz val="11"/>
        <rFont val="Noto Sans JP"/>
        <family val="2"/>
      </rPr>
      <t xml:space="preserve">〜</t>
    </r>
    <r>
      <rPr>
        <sz val="11"/>
        <rFont val="Arial"/>
        <family val="0"/>
        <charset val="1"/>
      </rPr>
      <t xml:space="preserve">pro_unlocked</t>
    </r>
  </si>
  <si>
    <r>
      <rPr>
        <sz val="11"/>
        <rFont val="Arial"/>
        <family val="0"/>
        <charset val="1"/>
      </rPr>
      <t xml:space="preserve">Vercel → </t>
    </r>
    <r>
      <rPr>
        <sz val="11"/>
        <rFont val="Noto Sans JP"/>
        <family val="2"/>
      </rPr>
      <t xml:space="preserve">プロジェクト </t>
    </r>
    <r>
      <rPr>
        <sz val="11"/>
        <rFont val="Arial"/>
        <family val="0"/>
        <charset val="1"/>
      </rPr>
      <t xml:space="preserve">sukatto-schedule-oeyl → Analytics </t>
    </r>
    <r>
      <rPr>
        <sz val="11"/>
        <rFont val="Noto Sans JP"/>
        <family val="2"/>
      </rPr>
      <t xml:space="preserve">のカスタムイベント</t>
    </r>
  </si>
  <si>
    <r>
      <rPr>
        <sz val="11"/>
        <rFont val="Arial"/>
        <family val="0"/>
        <charset val="1"/>
      </rPr>
      <t xml:space="preserve">Pro</t>
    </r>
    <r>
      <rPr>
        <sz val="11"/>
        <rFont val="Noto Sans JP"/>
        <family val="2"/>
      </rPr>
      <t xml:space="preserve">売上（</t>
    </r>
    <r>
      <rPr>
        <sz val="11"/>
        <rFont val="Arial"/>
        <family val="0"/>
        <charset val="1"/>
      </rPr>
      <t xml:space="preserve">¥/</t>
    </r>
    <r>
      <rPr>
        <sz val="11"/>
        <rFont val="Noto Sans JP"/>
        <family val="2"/>
      </rPr>
      <t xml:space="preserve">週）</t>
    </r>
  </si>
  <si>
    <r>
      <rPr>
        <sz val="11"/>
        <rFont val="Arial"/>
        <family val="0"/>
        <charset val="1"/>
      </rPr>
      <t xml:space="preserve">Gumroad </t>
    </r>
    <r>
      <rPr>
        <sz val="11"/>
        <rFont val="Noto Sans JP"/>
        <family val="2"/>
      </rPr>
      <t xml:space="preserve">ダッシュボード → 商品 </t>
    </r>
    <r>
      <rPr>
        <sz val="11"/>
        <rFont val="Arial"/>
        <family val="0"/>
        <charset val="1"/>
      </rPr>
      <t xml:space="preserve">lavli</t>
    </r>
    <r>
      <rPr>
        <sz val="11"/>
        <rFont val="Noto Sans JP"/>
        <family val="2"/>
      </rPr>
      <t xml:space="preserve">『</t>
    </r>
    <r>
      <rPr>
        <sz val="11"/>
        <rFont val="Arial"/>
        <family val="0"/>
        <charset val="1"/>
      </rPr>
      <t xml:space="preserve">Sukatto Schedular Pro</t>
    </r>
    <r>
      <rPr>
        <sz val="11"/>
        <rFont val="Noto Sans JP"/>
        <family val="2"/>
      </rPr>
      <t xml:space="preserve">』の週次売上</t>
    </r>
  </si>
  <si>
    <r>
      <rPr>
        <sz val="11"/>
        <rFont val="Arial"/>
        <family val="0"/>
        <charset val="1"/>
      </rPr>
      <t xml:space="preserve">LP→</t>
    </r>
    <r>
      <rPr>
        <sz val="11"/>
        <rFont val="Noto Sans JP"/>
        <family val="2"/>
      </rPr>
      <t xml:space="preserve">試す率</t>
    </r>
  </si>
  <si>
    <r>
      <rPr>
        <sz val="11"/>
        <rFont val="Arial"/>
        <family val="0"/>
        <charset val="1"/>
      </rPr>
      <t xml:space="preserve">lp_try_clicked ÷ LP</t>
    </r>
    <r>
      <rPr>
        <sz val="11"/>
        <rFont val="Noto Sans JP"/>
        <family val="2"/>
      </rPr>
      <t xml:space="preserve">訪問者。</t>
    </r>
    <r>
      <rPr>
        <sz val="11"/>
        <rFont val="Arial"/>
        <family val="0"/>
        <charset val="1"/>
      </rPr>
      <t xml:space="preserve">LP</t>
    </r>
    <r>
      <rPr>
        <sz val="11"/>
        <rFont val="Noto Sans JP"/>
        <family val="2"/>
      </rPr>
      <t xml:space="preserve">コピーの刺さり具合</t>
    </r>
  </si>
  <si>
    <t xml:space="preserve">起動→登録率</t>
  </si>
  <si>
    <r>
      <rPr>
        <sz val="11"/>
        <rFont val="Arial"/>
        <family val="0"/>
        <charset val="1"/>
      </rPr>
      <t xml:space="preserve">event_registered ÷ app_opened</t>
    </r>
    <r>
      <rPr>
        <sz val="11"/>
        <rFont val="Noto Sans JP"/>
        <family val="2"/>
      </rPr>
      <t xml:space="preserve">。アクティベーション（最重要）</t>
    </r>
  </si>
  <si>
    <r>
      <rPr>
        <sz val="11"/>
        <rFont val="Noto Sans JP"/>
        <family val="2"/>
      </rPr>
      <t xml:space="preserve">登録→</t>
    </r>
    <r>
      <rPr>
        <sz val="11"/>
        <rFont val="Arial"/>
        <family val="0"/>
        <charset val="1"/>
      </rPr>
      <t xml:space="preserve">Pro</t>
    </r>
    <r>
      <rPr>
        <sz val="11"/>
        <rFont val="Noto Sans JP"/>
        <family val="2"/>
      </rPr>
      <t xml:space="preserve">率</t>
    </r>
  </si>
  <si>
    <r>
      <rPr>
        <sz val="11"/>
        <rFont val="Arial"/>
        <family val="0"/>
        <charset val="1"/>
      </rPr>
      <t xml:space="preserve">pro_unlocked ÷ event_registered</t>
    </r>
    <r>
      <rPr>
        <sz val="11"/>
        <rFont val="Noto Sans JP"/>
        <family val="2"/>
      </rPr>
      <t xml:space="preserve">。支払い意思の実測</t>
    </r>
  </si>
  <si>
    <t xml:space="preserve">施策メモ</t>
  </si>
  <si>
    <r>
      <rPr>
        <sz val="11"/>
        <rFont val="Noto Sans JP"/>
        <family val="2"/>
      </rPr>
      <t xml:space="preserve">その週に出した記事</t>
    </r>
    <r>
      <rPr>
        <sz val="11"/>
        <rFont val="Arial"/>
        <family val="0"/>
        <charset val="1"/>
      </rPr>
      <t xml:space="preserve">/</t>
    </r>
    <r>
      <rPr>
        <sz val="11"/>
        <rFont val="Noto Sans JP"/>
        <family val="2"/>
      </rPr>
      <t xml:space="preserve">投稿を必ず記録。数字の山と施策を結び付けるため</t>
    </r>
  </si>
  <si>
    <t xml:space="preserve">段階的な成功基準</t>
  </si>
  <si>
    <r>
      <rPr>
        <sz val="11"/>
        <rFont val="Noto Sans JP"/>
        <family val="2"/>
      </rPr>
      <t xml:space="preserve">①自分以外の初 </t>
    </r>
    <r>
      <rPr>
        <sz val="11"/>
        <rFont val="Arial"/>
        <family val="0"/>
        <charset val="1"/>
      </rPr>
      <t xml:space="preserve">event_registered ②</t>
    </r>
    <r>
      <rPr>
        <sz val="11"/>
        <rFont val="Noto Sans JP"/>
        <family val="2"/>
      </rPr>
      <t xml:space="preserve">初の </t>
    </r>
    <r>
      <rPr>
        <sz val="11"/>
        <rFont val="Arial"/>
        <family val="0"/>
        <charset val="1"/>
      </rPr>
      <t xml:space="preserve">pro_unlocked </t>
    </r>
    <r>
      <rPr>
        <sz val="11"/>
        <rFont val="Noto Sans JP"/>
        <family val="2"/>
      </rPr>
      <t xml:space="preserve">実売 ③週次オーガニック流入の右肩上がり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</si>
</sst>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\¥#,##0;&quot;(¥&quot;#,##0\);\-"/>
    <numFmt numFmtId="167" formatCode="0.0%;\-0.0%;\-"/>
  </numFmts>
  <fonts count="16">
    <font>
      <sz val="11"/>
      <color theme="1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JP"/>
      <family val="2"/>
    </font>
    <font>
      <i val="true"/>
      <sz val="10"/>
      <color rgb="FF555555"/>
      <name val="Noto Sans JP"/>
      <family val="2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Noto Sans JP"/>
      <family val="2"/>
    </font>
    <font>
      <b val="true"/>
      <sz val="10"/>
      <name val="Noto Sans JP"/>
      <family val="2"/>
    </font>
    <font>
      <b val="true"/>
      <sz val="10"/>
      <name val="Arial"/>
      <family val="0"/>
      <charset val="1"/>
    </font>
    <font>
      <sz val="11"/>
      <color rgb="FF0000FF"/>
      <name val="Noto Sans JP"/>
      <family val="2"/>
    </font>
    <font>
      <sz val="11"/>
      <color rgb="FF000000"/>
      <name val="Arial"/>
      <family val="0"/>
      <charset val="1"/>
    </font>
    <font>
      <b val="true"/>
      <sz val="11"/>
      <name val="Noto Sans JP"/>
      <family val="2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name val="Noto Sans JP"/>
      <family val="2"/>
    </font>
  </fonts>
  <fills count="10">
    <fill>
      <patternFill patternType="none"/>
    </fill>
    <fill>
      <patternFill patternType="gray125"/>
    </fill>
    <fill>
      <patternFill patternType="solid">
        <fgColor rgb="FF185FA5"/>
        <bgColor rgb="FF0F6E56"/>
      </patternFill>
    </fill>
    <fill>
      <patternFill patternType="solid">
        <fgColor rgb="FF0F6E56"/>
        <bgColor rgb="FF008080"/>
      </patternFill>
    </fill>
    <fill>
      <patternFill patternType="solid">
        <fgColor rgb="FF854F0B"/>
        <bgColor rgb="FF712B13"/>
      </patternFill>
    </fill>
    <fill>
      <patternFill patternType="solid">
        <fgColor rgb="FF5F5E5A"/>
        <bgColor rgb="FF555555"/>
      </patternFill>
    </fill>
    <fill>
      <patternFill patternType="solid">
        <fgColor rgb="FF3C3489"/>
        <bgColor rgb="FF555555"/>
      </patternFill>
    </fill>
    <fill>
      <patternFill patternType="solid">
        <fgColor rgb="FF712B13"/>
        <bgColor rgb="FF854F0B"/>
      </patternFill>
    </fill>
    <fill>
      <patternFill patternType="solid">
        <fgColor rgb="FFE6F1FB"/>
        <bgColor rgb="FFF1EFE8"/>
      </patternFill>
    </fill>
    <fill>
      <patternFill patternType="solid">
        <fgColor rgb="FFF1EFE8"/>
        <bgColor rgb="FFE6F1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4F0B"/>
      <rgbColor rgb="FF800080"/>
      <rgbColor rgb="FF0F6E56"/>
      <rgbColor rgb="FFD3D1C7"/>
      <rgbColor rgb="FF808080"/>
      <rgbColor rgb="FF9999FF"/>
      <rgbColor rgb="FF993366"/>
      <rgbColor rgb="FFF1EFE8"/>
      <rgbColor rgb="FFE6F1FB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712B13"/>
      <rgbColor rgb="FF993366"/>
      <rgbColor rgb="FF3C348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0.92"/>
    <col collapsed="false" customWidth="true" hidden="false" outlineLevel="0" max="3" min="2" style="0" width="7.28"/>
    <col collapsed="false" customWidth="true" hidden="false" outlineLevel="0" max="5" min="4" style="0" width="8.19"/>
    <col collapsed="false" customWidth="true" hidden="false" outlineLevel="0" max="6" min="6" style="0" width="9.1"/>
    <col collapsed="false" customWidth="true" hidden="false" outlineLevel="0" max="10" min="7" style="0" width="8.19"/>
    <col collapsed="false" customWidth="true" hidden="false" outlineLevel="0" max="11" min="11" style="0" width="9.1"/>
    <col collapsed="false" customWidth="true" hidden="false" outlineLevel="0" max="12" min="12" style="0" width="27.3"/>
    <col collapsed="false" customWidth="true" hidden="false" outlineLevel="0" max="17" min="13" style="0" width="8.19"/>
    <col collapsed="false" customWidth="true" hidden="false" outlineLevel="0" max="18" min="18" style="0" width="7.28"/>
    <col collapsed="false" customWidth="true" hidden="false" outlineLevel="0" max="19" min="19" style="0" width="10.9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29.85" hidden="false" customHeight="true" outlineLevel="0" collapsed="false">
      <c r="A5" s="3" t="s">
        <v>3</v>
      </c>
      <c r="B5" s="3" t="s">
        <v>4</v>
      </c>
      <c r="C5" s="3"/>
      <c r="D5" s="3"/>
      <c r="E5" s="4" t="s">
        <v>5</v>
      </c>
      <c r="F5" s="4"/>
      <c r="G5" s="4"/>
      <c r="H5" s="4"/>
      <c r="I5" s="4"/>
      <c r="J5" s="4"/>
      <c r="K5" s="5" t="s">
        <v>6</v>
      </c>
      <c r="L5" s="6" t="s">
        <v>7</v>
      </c>
      <c r="M5" s="7" t="s">
        <v>8</v>
      </c>
      <c r="N5" s="7"/>
      <c r="O5" s="7"/>
      <c r="P5" s="7"/>
      <c r="Q5" s="7"/>
      <c r="R5" s="8" t="s">
        <v>9</v>
      </c>
      <c r="S5" s="8"/>
    </row>
    <row r="6" customFormat="false" ht="44" hidden="false" customHeight="false" outlineLevel="0" collapsed="false">
      <c r="A6" s="9" t="s">
        <v>10</v>
      </c>
      <c r="B6" s="10" t="s">
        <v>11</v>
      </c>
      <c r="C6" s="10" t="s">
        <v>12</v>
      </c>
      <c r="D6" s="10" t="s">
        <v>13</v>
      </c>
      <c r="E6" s="10" t="s">
        <v>14</v>
      </c>
      <c r="F6" s="10" t="s">
        <v>15</v>
      </c>
      <c r="G6" s="10" t="s">
        <v>16</v>
      </c>
      <c r="H6" s="10" t="s">
        <v>17</v>
      </c>
      <c r="I6" s="10" t="s">
        <v>18</v>
      </c>
      <c r="J6" s="10" t="s">
        <v>19</v>
      </c>
      <c r="K6" s="10" t="s">
        <v>20</v>
      </c>
      <c r="L6" s="9" t="s">
        <v>21</v>
      </c>
      <c r="M6" s="11" t="s">
        <v>22</v>
      </c>
      <c r="N6" s="12" t="s">
        <v>23</v>
      </c>
      <c r="O6" s="12" t="s">
        <v>24</v>
      </c>
      <c r="P6" s="11" t="s">
        <v>25</v>
      </c>
      <c r="Q6" s="12" t="s">
        <v>26</v>
      </c>
      <c r="R6" s="12" t="s">
        <v>27</v>
      </c>
      <c r="S6" s="12" t="s">
        <v>28</v>
      </c>
    </row>
    <row r="7" customFormat="false" ht="15" hidden="false" customHeight="false" outlineLevel="0" collapsed="false">
      <c r="A7" s="13"/>
      <c r="B7" s="14"/>
      <c r="C7" s="14"/>
      <c r="D7" s="14"/>
      <c r="E7" s="14"/>
      <c r="F7" s="14"/>
      <c r="G7" s="14"/>
      <c r="H7" s="14"/>
      <c r="I7" s="14"/>
      <c r="J7" s="14"/>
      <c r="K7" s="15"/>
      <c r="L7" s="16"/>
      <c r="M7" s="17" t="str">
        <f aca="false">IFERROR(D7/B7,"")</f>
        <v/>
      </c>
      <c r="N7" s="17" t="str">
        <f aca="false">IFERROR(F7/E7,"")</f>
        <v/>
      </c>
      <c r="O7" s="17" t="str">
        <f aca="false">IFERROR(I7/F7,"")</f>
        <v/>
      </c>
      <c r="P7" s="17" t="str">
        <f aca="false">IFERROR(J7/I7,"")</f>
        <v/>
      </c>
      <c r="Q7" s="17" t="str">
        <f aca="false">IFERROR(J7/F7,"")</f>
        <v/>
      </c>
      <c r="R7" s="18" t="n">
        <f aca="false">SUM($J$7:J7)</f>
        <v>0</v>
      </c>
      <c r="S7" s="19" t="n">
        <f aca="false">SUM($K$7:K7)</f>
        <v>0</v>
      </c>
    </row>
    <row r="8" customFormat="false" ht="15" hidden="false" customHeight="false" outlineLevel="0" collapsed="false">
      <c r="A8" s="13"/>
      <c r="B8" s="14"/>
      <c r="C8" s="14"/>
      <c r="D8" s="14"/>
      <c r="E8" s="14"/>
      <c r="F8" s="14"/>
      <c r="G8" s="14"/>
      <c r="H8" s="14"/>
      <c r="I8" s="14"/>
      <c r="J8" s="14"/>
      <c r="K8" s="15"/>
      <c r="L8" s="16"/>
      <c r="M8" s="17" t="str">
        <f aca="false">IFERROR(D8/B8,"")</f>
        <v/>
      </c>
      <c r="N8" s="17" t="str">
        <f aca="false">IFERROR(F8/E8,"")</f>
        <v/>
      </c>
      <c r="O8" s="17" t="str">
        <f aca="false">IFERROR(I8/F8,"")</f>
        <v/>
      </c>
      <c r="P8" s="17" t="str">
        <f aca="false">IFERROR(J8/I8,"")</f>
        <v/>
      </c>
      <c r="Q8" s="17" t="str">
        <f aca="false">IFERROR(J8/F8,"")</f>
        <v/>
      </c>
      <c r="R8" s="18" t="n">
        <f aca="false">SUM($J$7:J8)</f>
        <v>0</v>
      </c>
      <c r="S8" s="19" t="n">
        <f aca="false">SUM($K$7:K8)</f>
        <v>0</v>
      </c>
    </row>
    <row r="9" customFormat="false" ht="15" hidden="false" customHeight="false" outlineLevel="0" collapsed="false">
      <c r="A9" s="13"/>
      <c r="B9" s="14"/>
      <c r="C9" s="14"/>
      <c r="D9" s="14"/>
      <c r="E9" s="14"/>
      <c r="F9" s="14"/>
      <c r="G9" s="14"/>
      <c r="H9" s="14"/>
      <c r="I9" s="14"/>
      <c r="J9" s="14"/>
      <c r="K9" s="15"/>
      <c r="L9" s="16"/>
      <c r="M9" s="17" t="str">
        <f aca="false">IFERROR(D9/B9,"")</f>
        <v/>
      </c>
      <c r="N9" s="17" t="str">
        <f aca="false">IFERROR(F9/E9,"")</f>
        <v/>
      </c>
      <c r="O9" s="17" t="str">
        <f aca="false">IFERROR(I9/F9,"")</f>
        <v/>
      </c>
      <c r="P9" s="17" t="str">
        <f aca="false">IFERROR(J9/I9,"")</f>
        <v/>
      </c>
      <c r="Q9" s="17" t="str">
        <f aca="false">IFERROR(J9/F9,"")</f>
        <v/>
      </c>
      <c r="R9" s="18" t="n">
        <f aca="false">SUM($J$7:J9)</f>
        <v>0</v>
      </c>
      <c r="S9" s="19" t="n">
        <f aca="false">SUM($K$7:K9)</f>
        <v>0</v>
      </c>
    </row>
    <row r="10" customFormat="false" ht="15" hidden="false" customHeight="false" outlineLevel="0" collapsed="false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5"/>
      <c r="L10" s="16"/>
      <c r="M10" s="17" t="str">
        <f aca="false">IFERROR(D10/B10,"")</f>
        <v/>
      </c>
      <c r="N10" s="17" t="str">
        <f aca="false">IFERROR(F10/E10,"")</f>
        <v/>
      </c>
      <c r="O10" s="17" t="str">
        <f aca="false">IFERROR(I10/F10,"")</f>
        <v/>
      </c>
      <c r="P10" s="17" t="str">
        <f aca="false">IFERROR(J10/I10,"")</f>
        <v/>
      </c>
      <c r="Q10" s="17" t="str">
        <f aca="false">IFERROR(J10/F10,"")</f>
        <v/>
      </c>
      <c r="R10" s="18" t="n">
        <f aca="false">SUM($J$7:J10)</f>
        <v>0</v>
      </c>
      <c r="S10" s="19" t="n">
        <f aca="false">SUM($K$7:K10)</f>
        <v>0</v>
      </c>
    </row>
    <row r="11" customFormat="false" ht="15" hidden="false" customHeight="false" outlineLevel="0" collapsed="false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5"/>
      <c r="L11" s="16"/>
      <c r="M11" s="17" t="str">
        <f aca="false">IFERROR(D11/B11,"")</f>
        <v/>
      </c>
      <c r="N11" s="17" t="str">
        <f aca="false">IFERROR(F11/E11,"")</f>
        <v/>
      </c>
      <c r="O11" s="17" t="str">
        <f aca="false">IFERROR(I11/F11,"")</f>
        <v/>
      </c>
      <c r="P11" s="17" t="str">
        <f aca="false">IFERROR(J11/I11,"")</f>
        <v/>
      </c>
      <c r="Q11" s="17" t="str">
        <f aca="false">IFERROR(J11/F11,"")</f>
        <v/>
      </c>
      <c r="R11" s="18" t="n">
        <f aca="false">SUM($J$7:J11)</f>
        <v>0</v>
      </c>
      <c r="S11" s="19" t="n">
        <f aca="false">SUM($K$7:K11)</f>
        <v>0</v>
      </c>
    </row>
    <row r="12" customFormat="false" ht="15" hidden="false" customHeight="false" outlineLevel="0" collapsed="false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5"/>
      <c r="L12" s="16"/>
      <c r="M12" s="17" t="str">
        <f aca="false">IFERROR(D12/B12,"")</f>
        <v/>
      </c>
      <c r="N12" s="17" t="str">
        <f aca="false">IFERROR(F12/E12,"")</f>
        <v/>
      </c>
      <c r="O12" s="17" t="str">
        <f aca="false">IFERROR(I12/F12,"")</f>
        <v/>
      </c>
      <c r="P12" s="17" t="str">
        <f aca="false">IFERROR(J12/I12,"")</f>
        <v/>
      </c>
      <c r="Q12" s="17" t="str">
        <f aca="false">IFERROR(J12/F12,"")</f>
        <v/>
      </c>
      <c r="R12" s="18" t="n">
        <f aca="false">SUM($J$7:J12)</f>
        <v>0</v>
      </c>
      <c r="S12" s="19" t="n">
        <f aca="false">SUM($K$7:K12)</f>
        <v>0</v>
      </c>
    </row>
    <row r="13" customFormat="false" ht="15" hidden="false" customHeight="false" outlineLevel="0" collapsed="false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5"/>
      <c r="L13" s="16"/>
      <c r="M13" s="17" t="str">
        <f aca="false">IFERROR(D13/B13,"")</f>
        <v/>
      </c>
      <c r="N13" s="17" t="str">
        <f aca="false">IFERROR(F13/E13,"")</f>
        <v/>
      </c>
      <c r="O13" s="17" t="str">
        <f aca="false">IFERROR(I13/F13,"")</f>
        <v/>
      </c>
      <c r="P13" s="17" t="str">
        <f aca="false">IFERROR(J13/I13,"")</f>
        <v/>
      </c>
      <c r="Q13" s="17" t="str">
        <f aca="false">IFERROR(J13/F13,"")</f>
        <v/>
      </c>
      <c r="R13" s="18" t="n">
        <f aca="false">SUM($J$7:J13)</f>
        <v>0</v>
      </c>
      <c r="S13" s="19" t="n">
        <f aca="false">SUM($K$7:K13)</f>
        <v>0</v>
      </c>
    </row>
    <row r="14" customFormat="false" ht="15" hidden="false" customHeight="false" outlineLevel="0" collapsed="false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5"/>
      <c r="L14" s="16"/>
      <c r="M14" s="17" t="str">
        <f aca="false">IFERROR(D14/B14,"")</f>
        <v/>
      </c>
      <c r="N14" s="17" t="str">
        <f aca="false">IFERROR(F14/E14,"")</f>
        <v/>
      </c>
      <c r="O14" s="17" t="str">
        <f aca="false">IFERROR(I14/F14,"")</f>
        <v/>
      </c>
      <c r="P14" s="17" t="str">
        <f aca="false">IFERROR(J14/I14,"")</f>
        <v/>
      </c>
      <c r="Q14" s="17" t="str">
        <f aca="false">IFERROR(J14/F14,"")</f>
        <v/>
      </c>
      <c r="R14" s="18" t="n">
        <f aca="false">SUM($J$7:J14)</f>
        <v>0</v>
      </c>
      <c r="S14" s="19" t="n">
        <f aca="false">SUM($K$7:K14)</f>
        <v>0</v>
      </c>
    </row>
    <row r="15" customFormat="false" ht="15" hidden="false" customHeight="false" outlineLevel="0" collapsed="false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5"/>
      <c r="L15" s="16"/>
      <c r="M15" s="17" t="str">
        <f aca="false">IFERROR(D15/B15,"")</f>
        <v/>
      </c>
      <c r="N15" s="17" t="str">
        <f aca="false">IFERROR(F15/E15,"")</f>
        <v/>
      </c>
      <c r="O15" s="17" t="str">
        <f aca="false">IFERROR(I15/F15,"")</f>
        <v/>
      </c>
      <c r="P15" s="17" t="str">
        <f aca="false">IFERROR(J15/I15,"")</f>
        <v/>
      </c>
      <c r="Q15" s="17" t="str">
        <f aca="false">IFERROR(J15/F15,"")</f>
        <v/>
      </c>
      <c r="R15" s="18" t="n">
        <f aca="false">SUM($J$7:J15)</f>
        <v>0</v>
      </c>
      <c r="S15" s="19" t="n">
        <f aca="false">SUM($K$7:K15)</f>
        <v>0</v>
      </c>
    </row>
    <row r="16" customFormat="false" ht="15" hidden="false" customHeight="false" outlineLevel="0" collapsed="false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5"/>
      <c r="L16" s="16"/>
      <c r="M16" s="17" t="str">
        <f aca="false">IFERROR(D16/B16,"")</f>
        <v/>
      </c>
      <c r="N16" s="17" t="str">
        <f aca="false">IFERROR(F16/E16,"")</f>
        <v/>
      </c>
      <c r="O16" s="17" t="str">
        <f aca="false">IFERROR(I16/F16,"")</f>
        <v/>
      </c>
      <c r="P16" s="17" t="str">
        <f aca="false">IFERROR(J16/I16,"")</f>
        <v/>
      </c>
      <c r="Q16" s="17" t="str">
        <f aca="false">IFERROR(J16/F16,"")</f>
        <v/>
      </c>
      <c r="R16" s="18" t="n">
        <f aca="false">SUM($J$7:J16)</f>
        <v>0</v>
      </c>
      <c r="S16" s="19" t="n">
        <f aca="false">SUM($K$7:K16)</f>
        <v>0</v>
      </c>
    </row>
    <row r="17" customFormat="false" ht="15" hidden="false" customHeight="false" outlineLevel="0" collapsed="false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5"/>
      <c r="L17" s="16"/>
      <c r="M17" s="17" t="str">
        <f aca="false">IFERROR(D17/B17,"")</f>
        <v/>
      </c>
      <c r="N17" s="17" t="str">
        <f aca="false">IFERROR(F17/E17,"")</f>
        <v/>
      </c>
      <c r="O17" s="17" t="str">
        <f aca="false">IFERROR(I17/F17,"")</f>
        <v/>
      </c>
      <c r="P17" s="17" t="str">
        <f aca="false">IFERROR(J17/I17,"")</f>
        <v/>
      </c>
      <c r="Q17" s="17" t="str">
        <f aca="false">IFERROR(J17/F17,"")</f>
        <v/>
      </c>
      <c r="R17" s="18" t="n">
        <f aca="false">SUM($J$7:J17)</f>
        <v>0</v>
      </c>
      <c r="S17" s="19" t="n">
        <f aca="false">SUM($K$7:K17)</f>
        <v>0</v>
      </c>
    </row>
    <row r="18" customFormat="false" ht="15" hidden="false" customHeight="false" outlineLevel="0" collapsed="false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5"/>
      <c r="L18" s="16"/>
      <c r="M18" s="17" t="str">
        <f aca="false">IFERROR(D18/B18,"")</f>
        <v/>
      </c>
      <c r="N18" s="17" t="str">
        <f aca="false">IFERROR(F18/E18,"")</f>
        <v/>
      </c>
      <c r="O18" s="17" t="str">
        <f aca="false">IFERROR(I18/F18,"")</f>
        <v/>
      </c>
      <c r="P18" s="17" t="str">
        <f aca="false">IFERROR(J18/I18,"")</f>
        <v/>
      </c>
      <c r="Q18" s="17" t="str">
        <f aca="false">IFERROR(J18/F18,"")</f>
        <v/>
      </c>
      <c r="R18" s="18" t="n">
        <f aca="false">SUM($J$7:J18)</f>
        <v>0</v>
      </c>
      <c r="S18" s="19" t="n">
        <f aca="false">SUM($K$7:K18)</f>
        <v>0</v>
      </c>
    </row>
    <row r="19" customFormat="false" ht="15" hidden="false" customHeight="false" outlineLevel="0" collapsed="false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5"/>
      <c r="L19" s="16"/>
      <c r="M19" s="17" t="str">
        <f aca="false">IFERROR(D19/B19,"")</f>
        <v/>
      </c>
      <c r="N19" s="17" t="str">
        <f aca="false">IFERROR(F19/E19,"")</f>
        <v/>
      </c>
      <c r="O19" s="17" t="str">
        <f aca="false">IFERROR(I19/F19,"")</f>
        <v/>
      </c>
      <c r="P19" s="17" t="str">
        <f aca="false">IFERROR(J19/I19,"")</f>
        <v/>
      </c>
      <c r="Q19" s="17" t="str">
        <f aca="false">IFERROR(J19/F19,"")</f>
        <v/>
      </c>
      <c r="R19" s="18" t="n">
        <f aca="false">SUM($J$7:J19)</f>
        <v>0</v>
      </c>
      <c r="S19" s="19" t="n">
        <f aca="false">SUM($K$7:K19)</f>
        <v>0</v>
      </c>
    </row>
    <row r="20" customFormat="false" ht="15" hidden="false" customHeight="false" outlineLevel="0" collapsed="false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5"/>
      <c r="L20" s="16"/>
      <c r="M20" s="17" t="str">
        <f aca="false">IFERROR(D20/B20,"")</f>
        <v/>
      </c>
      <c r="N20" s="17" t="str">
        <f aca="false">IFERROR(F20/E20,"")</f>
        <v/>
      </c>
      <c r="O20" s="17" t="str">
        <f aca="false">IFERROR(I20/F20,"")</f>
        <v/>
      </c>
      <c r="P20" s="17" t="str">
        <f aca="false">IFERROR(J20/I20,"")</f>
        <v/>
      </c>
      <c r="Q20" s="17" t="str">
        <f aca="false">IFERROR(J20/F20,"")</f>
        <v/>
      </c>
      <c r="R20" s="18" t="n">
        <f aca="false">SUM($J$7:J20)</f>
        <v>0</v>
      </c>
      <c r="S20" s="19" t="n">
        <f aca="false">SUM($K$7:K20)</f>
        <v>0</v>
      </c>
    </row>
    <row r="21" customFormat="false" ht="15" hidden="false" customHeight="false" outlineLevel="0" collapsed="false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5"/>
      <c r="L21" s="16"/>
      <c r="M21" s="17" t="str">
        <f aca="false">IFERROR(D21/B21,"")</f>
        <v/>
      </c>
      <c r="N21" s="17" t="str">
        <f aca="false">IFERROR(F21/E21,"")</f>
        <v/>
      </c>
      <c r="O21" s="17" t="str">
        <f aca="false">IFERROR(I21/F21,"")</f>
        <v/>
      </c>
      <c r="P21" s="17" t="str">
        <f aca="false">IFERROR(J21/I21,"")</f>
        <v/>
      </c>
      <c r="Q21" s="17" t="str">
        <f aca="false">IFERROR(J21/F21,"")</f>
        <v/>
      </c>
      <c r="R21" s="18" t="n">
        <f aca="false">SUM($J$7:J21)</f>
        <v>0</v>
      </c>
      <c r="S21" s="19" t="n">
        <f aca="false">SUM($K$7:K21)</f>
        <v>0</v>
      </c>
    </row>
    <row r="22" customFormat="false" ht="15" hidden="false" customHeight="false" outlineLevel="0" collapsed="false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5"/>
      <c r="L22" s="16"/>
      <c r="M22" s="17" t="str">
        <f aca="false">IFERROR(D22/B22,"")</f>
        <v/>
      </c>
      <c r="N22" s="17" t="str">
        <f aca="false">IFERROR(F22/E22,"")</f>
        <v/>
      </c>
      <c r="O22" s="17" t="str">
        <f aca="false">IFERROR(I22/F22,"")</f>
        <v/>
      </c>
      <c r="P22" s="17" t="str">
        <f aca="false">IFERROR(J22/I22,"")</f>
        <v/>
      </c>
      <c r="Q22" s="17" t="str">
        <f aca="false">IFERROR(J22/F22,"")</f>
        <v/>
      </c>
      <c r="R22" s="18" t="n">
        <f aca="false">SUM($J$7:J22)</f>
        <v>0</v>
      </c>
      <c r="S22" s="19" t="n">
        <f aca="false">SUM($K$7:K22)</f>
        <v>0</v>
      </c>
    </row>
  </sheetData>
  <mergeCells count="4">
    <mergeCell ref="B5:D5"/>
    <mergeCell ref="E5:J5"/>
    <mergeCell ref="M5:Q5"/>
    <mergeCell ref="R5:S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1.84"/>
    <col collapsed="false" customWidth="true" hidden="false" outlineLevel="0" max="2" min="2" style="0" width="63.69"/>
  </cols>
  <sheetData>
    <row r="1" customFormat="false" ht="17.15" hidden="false" customHeight="false" outlineLevel="0" collapsed="false">
      <c r="A1" s="20" t="s">
        <v>29</v>
      </c>
      <c r="B1" s="20" t="s">
        <v>30</v>
      </c>
    </row>
    <row r="2" customFormat="false" ht="17.15" hidden="false" customHeight="false" outlineLevel="0" collapsed="false">
      <c r="A2" s="21" t="s">
        <v>31</v>
      </c>
      <c r="B2" s="21" t="s">
        <v>32</v>
      </c>
    </row>
    <row r="3" customFormat="false" ht="17.15" hidden="false" customHeight="false" outlineLevel="0" collapsed="false">
      <c r="A3" s="21" t="s">
        <v>33</v>
      </c>
      <c r="B3" s="22" t="s">
        <v>34</v>
      </c>
    </row>
    <row r="4" customFormat="false" ht="32.8" hidden="false" customHeight="false" outlineLevel="0" collapsed="false">
      <c r="A4" s="21" t="s">
        <v>35</v>
      </c>
      <c r="B4" s="21" t="s">
        <v>36</v>
      </c>
    </row>
    <row r="5" customFormat="false" ht="32.8" hidden="false" customHeight="false" outlineLevel="0" collapsed="false">
      <c r="A5" s="21" t="s">
        <v>37</v>
      </c>
      <c r="B5" s="21" t="s">
        <v>38</v>
      </c>
    </row>
    <row r="6" customFormat="false" ht="17.15" hidden="false" customHeight="false" outlineLevel="0" collapsed="false">
      <c r="A6" s="21" t="s">
        <v>39</v>
      </c>
      <c r="B6" s="21" t="s">
        <v>40</v>
      </c>
    </row>
    <row r="7" customFormat="false" ht="17.15" hidden="false" customHeight="false" outlineLevel="0" collapsed="false">
      <c r="A7" s="22" t="s">
        <v>41</v>
      </c>
      <c r="B7" s="21" t="s">
        <v>42</v>
      </c>
    </row>
    <row r="8" customFormat="false" ht="17.15" hidden="false" customHeight="false" outlineLevel="0" collapsed="false">
      <c r="A8" s="22" t="s">
        <v>43</v>
      </c>
      <c r="B8" s="21" t="s">
        <v>44</v>
      </c>
    </row>
    <row r="9" customFormat="false" ht="17.15" hidden="false" customHeight="false" outlineLevel="0" collapsed="false">
      <c r="A9" s="22" t="s">
        <v>45</v>
      </c>
      <c r="B9" s="22" t="s">
        <v>46</v>
      </c>
    </row>
    <row r="10" customFormat="false" ht="15" hidden="false" customHeight="false" outlineLevel="0" collapsed="false">
      <c r="A10" s="21"/>
      <c r="B10" s="21"/>
    </row>
    <row r="11" customFormat="false" ht="32.8" hidden="false" customHeight="false" outlineLevel="0" collapsed="false">
      <c r="A11" s="22" t="s">
        <v>47</v>
      </c>
      <c r="B11" s="22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2026-07-09T01:14:48Z</dcterms:created>
  <dc:creator>openpyxl</dc:creator>
  <dc:description/>
  <dc:language>ja-JP</dc:language>
  <cp:lastModifiedBy/>
  <dcterms:modified xsi:type="dcterms:W3CDTF">2026-07-09T01:14:48Z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